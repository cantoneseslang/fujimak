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konhiroki/fujimak-maintenance/"/>
    </mc:Choice>
  </mc:AlternateContent>
  <xr:revisionPtr revIDLastSave="0" documentId="13_ncr:1_{6C393372-D4CA-B04A-B983-BDC736F3C4FE}" xr6:coauthVersionLast="47" xr6:coauthVersionMax="47" xr10:uidLastSave="{00000000-0000-0000-0000-000000000000}"/>
  <bookViews>
    <workbookView xWindow="10440" yWindow="660" windowWidth="23280" windowHeight="20600" xr2:uid="{F7DA1627-550F-C54E-9C19-10E7C195E0E3}"/>
  </bookViews>
  <sheets>
    <sheet name="報價單-JP (2)" sheetId="24" r:id="rId1"/>
    <sheet name="工作表1" sheetId="32" r:id="rId2"/>
  </sheets>
  <definedNames>
    <definedName name="_xlnm.Print_Area" localSheetId="0">'報價單-JP (2)'!$A$1:$J$42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0" i="24" l="1"/>
  <c r="I19" i="24"/>
  <c r="E11" i="32"/>
  <c r="I17" i="24" s="1"/>
  <c r="I14" i="24"/>
  <c r="F14" i="24"/>
  <c r="C17" i="24"/>
  <c r="F17" i="24"/>
  <c r="D11" i="32"/>
  <c r="H17" i="24" s="1"/>
  <c r="H20" i="24" s="1"/>
  <c r="G17" i="24"/>
  <c r="C14" i="24"/>
  <c r="G14" i="24"/>
  <c r="D8" i="32"/>
  <c r="D10" i="32"/>
  <c r="D6" i="32"/>
  <c r="D5" i="32"/>
  <c r="D4" i="32"/>
  <c r="H14" i="24" l="1"/>
  <c r="E8" i="32"/>
  <c r="E6" i="32"/>
  <c r="E10" i="32"/>
  <c r="E5" i="32"/>
  <c r="E4" i="32"/>
  <c r="H19" i="24" l="1"/>
</calcChain>
</file>

<file path=xl/sharedStrings.xml><?xml version="1.0" encoding="utf-8"?>
<sst xmlns="http://schemas.openxmlformats.org/spreadsheetml/2006/main" count="49" uniqueCount="48">
  <si>
    <t>LIFESUPPORT(HK)LIMITED</t>
    <phoneticPr fontId="2"/>
  </si>
  <si>
    <t>Bank Information:</t>
    <rPh sb="0" eb="1">
      <t>yin h</t>
    </rPh>
    <rPh sb="2" eb="3">
      <t>xin x</t>
    </rPh>
    <phoneticPr fontId="3"/>
  </si>
  <si>
    <t>Unit Price</t>
    <rPh sb="0" eb="1">
      <t>dan jia</t>
    </rPh>
    <phoneticPr fontId="3"/>
  </si>
  <si>
    <t>Total Price(HKD)</t>
    <rPh sb="0" eb="1">
      <t>zong jia</t>
    </rPh>
    <phoneticPr fontId="2"/>
  </si>
  <si>
    <t>見積書</t>
    <phoneticPr fontId="3"/>
  </si>
  <si>
    <t>電話番号: (852)26384130</t>
    <phoneticPr fontId="2"/>
  </si>
  <si>
    <t>住所:G/F No.163 Pan Chung,Tai Po,NT,HONGKONG</t>
    <phoneticPr fontId="3"/>
  </si>
  <si>
    <t>お支払い条件:</t>
    <phoneticPr fontId="2"/>
  </si>
  <si>
    <t>支払い貨幣</t>
    <phoneticPr fontId="2"/>
  </si>
  <si>
    <t>支払い条件</t>
    <rPh sb="1" eb="2">
      <t>bei zhujia gewei ugang bi</t>
    </rPh>
    <phoneticPr fontId="3"/>
  </si>
  <si>
    <t>業務期間 各業務の標準的な所要期間は、以下のとおりとする。</t>
    <rPh sb="1" eb="2">
      <t>bei zhu</t>
    </rPh>
    <rPh sb="6" eb="7">
      <t>jia ge</t>
    </rPh>
    <rPh sb="8" eb="9">
      <t>wei u</t>
    </rPh>
    <rPh sb="9" eb="10">
      <t>gang bi</t>
    </rPh>
    <phoneticPr fontId="3"/>
  </si>
  <si>
    <t>見積書有効期限</t>
    <phoneticPr fontId="2"/>
  </si>
  <si>
    <t>・上記見積書発行時期より14日とする。</t>
    <phoneticPr fontId="2"/>
  </si>
  <si>
    <t>サービス内容及び金額:</t>
    <rPh sb="0" eb="1">
      <t>chan p</t>
    </rPh>
    <rPh sb="2" eb="3">
      <t>miao shu</t>
    </rPh>
    <phoneticPr fontId="2"/>
  </si>
  <si>
    <t>メール:hsakon@lifesupporthk.com</t>
    <phoneticPr fontId="2"/>
  </si>
  <si>
    <t>rate:</t>
    <phoneticPr fontId="14" type="noConversion"/>
  </si>
  <si>
    <t>ファイル名</t>
    <phoneticPr fontId="14" type="noConversion"/>
  </si>
  <si>
    <t>単価</t>
    <phoneticPr fontId="14" type="noConversion"/>
  </si>
  <si>
    <t>価格(HKD)</t>
    <phoneticPr fontId="14" type="noConversion"/>
  </si>
  <si>
    <t>価格(USD)</t>
    <phoneticPr fontId="14" type="noConversion"/>
  </si>
  <si>
    <t>1)</t>
    <phoneticPr fontId="13" type="noConversion"/>
  </si>
  <si>
    <t>Quantity</t>
    <rPh sb="0" eb="1">
      <t>dan jia</t>
    </rPh>
    <phoneticPr fontId="3"/>
  </si>
  <si>
    <t>LIFESUPPORT (HK) LIMITED</t>
    <phoneticPr fontId="13" type="noConversion"/>
  </si>
  <si>
    <t>LFS-MainT カスタマイズ費</t>
    <phoneticPr fontId="2"/>
  </si>
  <si>
    <t>POS機(HKT)参考価格、実費に基づく</t>
    <phoneticPr fontId="14" type="noConversion"/>
  </si>
  <si>
    <t>IPAD iPad Wi-Fi 128GB(apple care込 apple店購入)</t>
    <phoneticPr fontId="13" type="noConversion"/>
  </si>
  <si>
    <t>MacBook Neo(apple care込 apple店購入)</t>
    <phoneticPr fontId="14" type="noConversion"/>
  </si>
  <si>
    <t>数量</t>
    <phoneticPr fontId="14" type="noConversion"/>
  </si>
  <si>
    <t>・委託料の支払いは、前払い90%とする。受託者は、委託料の全額入金確認後に業務を開始するものとする。</t>
    <rPh sb="1" eb="2">
      <t>bei zhu</t>
    </rPh>
    <rPh sb="6" eb="7">
      <t>jia ge</t>
    </rPh>
    <rPh sb="8" eb="9">
      <t>wei u</t>
    </rPh>
    <rPh sb="9" eb="10">
      <t>gang bi</t>
    </rPh>
    <phoneticPr fontId="3"/>
  </si>
  <si>
    <t>Company Information:</t>
    <rPh sb="0" eb="1">
      <t>yin h</t>
    </rPh>
    <rPh sb="2" eb="3">
      <t>xin x</t>
    </rPh>
    <phoneticPr fontId="3"/>
  </si>
  <si>
    <t>POS月使用料(参考価格、実費に基づく)</t>
    <phoneticPr fontId="14" type="noConversion"/>
  </si>
  <si>
    <t xml:space="preserve">月毎費用 Total </t>
    <phoneticPr fontId="3"/>
  </si>
  <si>
    <t xml:space="preserve">初期費用 Total </t>
    <phoneticPr fontId="3"/>
  </si>
  <si>
    <t>Business Registration Number:74804319-000-01-23-0
Add:G/F No.163 Pan Chung,Tai Po,NT,HONGKONG
Tel:(852)26384130
Fax:(852)26530426
Mobile:(852)52263586_x000B_                                                                                                                                                                                                 mail:info@lifesupporthk.com
www:lshk-ai-service.studio.site</t>
    <phoneticPr fontId="13" type="noConversion"/>
  </si>
  <si>
    <t>・デモ・トレーニング2日とする。</t>
    <rPh sb="1" eb="2">
      <t>bei zhu</t>
    </rPh>
    <rPh sb="6" eb="7">
      <t>jia ge</t>
    </rPh>
    <rPh sb="8" eb="9">
      <t>wei u</t>
    </rPh>
    <rPh sb="9" eb="10">
      <t>gang bi</t>
    </rPh>
    <phoneticPr fontId="3"/>
  </si>
  <si>
    <t>・設置完了検収確認後、残金10%3日以内に支払いを完済する事とする。</t>
    <rPh sb="1" eb="2">
      <t>bei zhu</t>
    </rPh>
    <rPh sb="6" eb="7">
      <t>jia ge</t>
    </rPh>
    <rPh sb="8" eb="9">
      <t>wei u</t>
    </rPh>
    <rPh sb="9" eb="10">
      <t>gang bi</t>
    </rPh>
    <phoneticPr fontId="3"/>
  </si>
  <si>
    <t>メンテナンス料(1店舗=1アカウント)</t>
    <phoneticPr fontId="13" type="noConversion"/>
  </si>
  <si>
    <r>
      <t>To</t>
    </r>
    <r>
      <rPr>
        <b/>
        <u/>
        <sz val="20"/>
        <rFont val="MS Mincho"/>
        <family val="1"/>
        <charset val="128"/>
      </rPr>
      <t>：</t>
    </r>
    <r>
      <rPr>
        <b/>
        <u/>
        <sz val="20"/>
        <rFont val="Times New Roman Italic"/>
      </rPr>
      <t>fujimak フィリッピン三浦様</t>
    </r>
    <phoneticPr fontId="3"/>
  </si>
  <si>
    <t>見積書No.#LSHK-202603300002</t>
    <phoneticPr fontId="2"/>
  </si>
  <si>
    <t>Total Price(USD)</t>
    <rPh sb="0" eb="1">
      <t>zong jia</t>
    </rPh>
    <phoneticPr fontId="2"/>
  </si>
  <si>
    <t>・HKドル or USドル</t>
    <phoneticPr fontId="2"/>
  </si>
  <si>
    <t>MainT fujimak Ph ver 開発費(30日完了予定)</t>
    <phoneticPr fontId="13" type="noConversion"/>
  </si>
  <si>
    <t>(HKD)</t>
    <phoneticPr fontId="13" type="noConversion"/>
  </si>
  <si>
    <t>(USD)</t>
    <phoneticPr fontId="13" type="noConversion"/>
  </si>
  <si>
    <t>会社名:LIFESUPPORT (HK) LIMITED
銀行名: DBS Bank (Hong Kong) Limited
銀行住所: G/F, The Center,99 Queen's Road Central, Central, Hong Kong
SWIFT Code: DHBKHKHH
銀行番号: 016
(HKD) LIFESUPPORT (HK) LIMITED 002385349 （支店番号）478
(USD) LIFESUPPORT (HK) LIMITED 002385312 （支店番号）478</t>
    <phoneticPr fontId="2"/>
  </si>
  <si>
    <t>・システム開発業務:30日とする(開発)</t>
    <rPh sb="1" eb="2">
      <t>bei zhu</t>
    </rPh>
    <rPh sb="6" eb="7">
      <t>jia ge</t>
    </rPh>
    <rPh sb="8" eb="9">
      <t>wei u</t>
    </rPh>
    <rPh sb="9" eb="10">
      <t>gang bi</t>
    </rPh>
    <phoneticPr fontId="3"/>
  </si>
  <si>
    <t>1)ソフトウェア (ソフトウェア内容別紙PPT参照)</t>
    <rPh sb="2" eb="3">
      <t>g s</t>
    </rPh>
    <rPh sb="4" eb="5">
      <t>yuan gong</t>
    </rPh>
    <phoneticPr fontId="2"/>
  </si>
  <si>
    <t>2)月毎経費</t>
    <rPh sb="2" eb="3">
      <t>g s</t>
    </rPh>
    <rPh sb="4" eb="5">
      <t>yuan gong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</si>
</sst>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6" formatCode="#,000&quot;/月&quot;"/>
    <numFmt numFmtId="177" formatCode="0&quot;/月&quot;"/>
  </numFmts>
  <fonts count="20">
    <font>
      <sz val="12"/>
      <color theme="1"/>
      <name val="新細明體"/>
      <family val="2"/>
      <charset val="128"/>
      <scheme val="minor"/>
    </font>
    <font>
      <sz val="12"/>
      <color theme="1"/>
      <name val="新細明體"/>
      <family val="2"/>
      <charset val="128"/>
      <scheme val="minor"/>
    </font>
    <font>
      <sz val="6"/>
      <name val="新細明體"/>
      <family val="2"/>
      <charset val="128"/>
      <scheme val="minor"/>
    </font>
    <font>
      <sz val="6"/>
      <name val="ＭＳ ゴシック"/>
      <family val="2"/>
      <charset val="128"/>
    </font>
    <font>
      <sz val="12"/>
      <name val="Times New Roman Italic"/>
    </font>
    <font>
      <sz val="10"/>
      <name val="Times New Roman Italic"/>
    </font>
    <font>
      <b/>
      <sz val="22"/>
      <name val="Times New Roman Italic"/>
    </font>
    <font>
      <b/>
      <u/>
      <sz val="16"/>
      <name val="Times New Roman Italic"/>
    </font>
    <font>
      <u/>
      <sz val="14"/>
      <name val="Times New Roman Italic"/>
    </font>
    <font>
      <sz val="11"/>
      <name val="Times New Roman Italic"/>
    </font>
    <font>
      <b/>
      <sz val="11"/>
      <name val="Times New Roman Italic"/>
    </font>
    <font>
      <b/>
      <sz val="12"/>
      <name val="Times New Roman Italic"/>
    </font>
    <font>
      <b/>
      <sz val="14"/>
      <name val="Times New Roman Italic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eiryo UI"/>
      <family val="2"/>
      <charset val="128"/>
    </font>
    <font>
      <i/>
      <sz val="14"/>
      <name val="Meiryo UI"/>
      <family val="2"/>
      <charset val="128"/>
    </font>
    <font>
      <b/>
      <u/>
      <sz val="20"/>
      <name val="Times New Roman Italic"/>
    </font>
    <font>
      <b/>
      <u/>
      <sz val="20"/>
      <name val="MS Mincho"/>
      <family val="1"/>
      <charset val="128"/>
    </font>
    <font>
      <sz val="20"/>
      <name val="Times New Roman Italic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0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4" fontId="4" fillId="0" borderId="0" xfId="0" applyNumberFormat="1" applyFo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8" fontId="11" fillId="0" borderId="0" xfId="1" applyNumberFormat="1" applyFont="1" applyFill="1" applyBorder="1" applyAlignment="1">
      <alignment horizontal="right" vertical="center"/>
    </xf>
    <xf numFmtId="38" fontId="11" fillId="0" borderId="0" xfId="1" applyNumberFormat="1" applyFont="1" applyBorder="1" applyAlignment="1">
      <alignment horizontal="right" vertical="center"/>
    </xf>
    <xf numFmtId="38" fontId="11" fillId="0" borderId="0" xfId="1" applyNumberFormat="1" applyFont="1" applyFill="1" applyBorder="1">
      <alignment vertical="center"/>
    </xf>
    <xf numFmtId="38" fontId="10" fillId="0" borderId="1" xfId="1" applyNumberFormat="1" applyFont="1" applyBorder="1" applyAlignment="1">
      <alignment vertical="center" wrapText="1"/>
    </xf>
    <xf numFmtId="40" fontId="10" fillId="2" borderId="12" xfId="2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15" fillId="0" borderId="0" xfId="0" applyFont="1">
      <alignment vertical="center"/>
    </xf>
    <xf numFmtId="0" fontId="15" fillId="0" borderId="0" xfId="0" applyFont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>
      <alignment vertical="center"/>
    </xf>
    <xf numFmtId="40" fontId="15" fillId="0" borderId="1" xfId="1" applyFont="1" applyBorder="1">
      <alignment vertical="center"/>
    </xf>
    <xf numFmtId="43" fontId="15" fillId="0" borderId="1" xfId="0" applyNumberFormat="1" applyFont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38" fontId="15" fillId="0" borderId="1" xfId="1" applyNumberFormat="1" applyFont="1" applyBorder="1">
      <alignment vertical="center"/>
    </xf>
    <xf numFmtId="0" fontId="4" fillId="0" borderId="7" xfId="0" applyFont="1" applyBorder="1" applyAlignment="1">
      <alignment horizontal="center" vertical="top" wrapText="1"/>
    </xf>
    <xf numFmtId="38" fontId="15" fillId="0" borderId="0" xfId="1" applyNumberFormat="1" applyFont="1">
      <alignment vertical="center"/>
    </xf>
    <xf numFmtId="38" fontId="15" fillId="0" borderId="1" xfId="1" applyNumberFormat="1" applyFont="1" applyBorder="1" applyAlignment="1">
      <alignment horizontal="center" vertical="center"/>
    </xf>
    <xf numFmtId="38" fontId="12" fillId="0" borderId="1" xfId="1" applyNumberFormat="1" applyFont="1" applyBorder="1" applyAlignment="1">
      <alignment horizontal="center" vertical="center" wrapText="1"/>
    </xf>
    <xf numFmtId="38" fontId="12" fillId="0" borderId="1" xfId="0" applyNumberFormat="1" applyFont="1" applyBorder="1">
      <alignment vertical="center"/>
    </xf>
    <xf numFmtId="38" fontId="12" fillId="0" borderId="13" xfId="1" applyNumberFormat="1" applyFont="1" applyBorder="1" applyAlignment="1">
      <alignment horizontal="right" vertical="center" wrapText="1"/>
    </xf>
    <xf numFmtId="38" fontId="12" fillId="0" borderId="13" xfId="1" applyNumberFormat="1" applyFont="1" applyFill="1" applyBorder="1">
      <alignment vertical="center"/>
    </xf>
    <xf numFmtId="0" fontId="11" fillId="0" borderId="9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8" fontId="11" fillId="0" borderId="18" xfId="1" applyNumberFormat="1" applyFont="1" applyFill="1" applyBorder="1" applyAlignment="1">
      <alignment horizontal="right" vertical="center"/>
    </xf>
    <xf numFmtId="38" fontId="11" fillId="0" borderId="2" xfId="1" applyNumberFormat="1" applyFont="1" applyFill="1" applyBorder="1" applyAlignment="1">
      <alignment horizontal="right" vertical="center"/>
    </xf>
    <xf numFmtId="0" fontId="11" fillId="0" borderId="9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14" fontId="4" fillId="0" borderId="0" xfId="0" applyNumberFormat="1" applyFont="1" applyAlignment="1">
      <alignment horizontal="right" vertical="center"/>
    </xf>
    <xf numFmtId="14" fontId="19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2" borderId="17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38" fontId="11" fillId="0" borderId="11" xfId="1" applyNumberFormat="1" applyFont="1" applyFill="1" applyBorder="1" applyAlignment="1">
      <alignment horizontal="right" vertical="center"/>
    </xf>
    <xf numFmtId="38" fontId="11" fillId="0" borderId="1" xfId="1" applyNumberFormat="1" applyFont="1" applyFill="1" applyBorder="1" applyAlignment="1">
      <alignment horizontal="right" vertical="center"/>
    </xf>
    <xf numFmtId="0" fontId="11" fillId="0" borderId="8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 wrapText="1"/>
    </xf>
    <xf numFmtId="38" fontId="12" fillId="0" borderId="1" xfId="1" applyNumberFormat="1" applyFont="1" applyBorder="1" applyAlignment="1">
      <alignment horizontal="right" vertical="center" wrapText="1"/>
    </xf>
    <xf numFmtId="176" fontId="12" fillId="0" borderId="1" xfId="1" applyNumberFormat="1" applyFont="1" applyBorder="1" applyAlignment="1">
      <alignment horizontal="right" vertical="center" wrapText="1"/>
    </xf>
    <xf numFmtId="38" fontId="12" fillId="0" borderId="1" xfId="1" applyNumberFormat="1" applyFont="1" applyFill="1" applyBorder="1">
      <alignment vertical="center"/>
    </xf>
    <xf numFmtId="176" fontId="11" fillId="0" borderId="2" xfId="1" applyNumberFormat="1" applyFont="1" applyFill="1" applyBorder="1">
      <alignment vertical="center"/>
    </xf>
    <xf numFmtId="0" fontId="9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wrapText="1"/>
    </xf>
    <xf numFmtId="0" fontId="11" fillId="2" borderId="9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38" fontId="10" fillId="0" borderId="1" xfId="1" applyNumberFormat="1" applyFont="1" applyFill="1" applyBorder="1" applyAlignment="1">
      <alignment horizontal="center" vertical="center"/>
    </xf>
    <xf numFmtId="38" fontId="10" fillId="0" borderId="13" xfId="1" applyNumberFormat="1" applyFont="1" applyFill="1" applyBorder="1" applyAlignment="1">
      <alignment horizontal="center" vertical="center"/>
    </xf>
    <xf numFmtId="177" fontId="11" fillId="0" borderId="14" xfId="1" applyNumberFormat="1" applyFont="1" applyFill="1" applyBorder="1">
      <alignment vertical="center"/>
    </xf>
    <xf numFmtId="177" fontId="12" fillId="0" borderId="13" xfId="1" applyNumberFormat="1" applyFont="1" applyBorder="1" applyAlignment="1">
      <alignment horizontal="right" vertical="center" wrapText="1"/>
    </xf>
    <xf numFmtId="0" fontId="12" fillId="0" borderId="19" xfId="0" applyFont="1" applyBorder="1" applyAlignment="1">
      <alignment horizontal="right" vertical="center" wrapText="1"/>
    </xf>
    <xf numFmtId="0" fontId="16" fillId="0" borderId="15" xfId="0" applyFont="1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</cellXfs>
  <cellStyles count="3">
    <cellStyle name="一般" xfId="0" builtinId="0"/>
    <cellStyle name="千分位" xfId="1" builtinId="3"/>
    <cellStyle name="千分位[0]" xfId="2" builtinId="6"/>
  </cellStyles>
  <dxfs count="0"/>
  <tableStyles count="0" defaultTableStyle="TableStyleMedium2" defaultPivotStyle="PivotStyleLight16"/>
  <colors>
    <mruColors>
      <color rgb="FFCEE7EE"/>
      <color rgb="FFEAF5F8"/>
      <color rgb="FF39A6BC"/>
      <color rgb="FFF4E1E3"/>
      <color rgb="FF0EAE0E"/>
      <color rgb="FF7C7DF9"/>
      <color rgb="FFFBC45B"/>
      <color rgb="FF7E7D7B"/>
      <color rgb="FF3F3F3F"/>
      <color rgb="FFEC8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298166</xdr:colOff>
      <xdr:row>0</xdr:row>
      <xdr:rowOff>76200</xdr:rowOff>
    </xdr:from>
    <xdr:to>
      <xdr:col>2</xdr:col>
      <xdr:colOff>320322</xdr:colOff>
      <xdr:row>5</xdr:row>
      <xdr:rowOff>125612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3ACD23A-2388-EF41-9E6C-1F374AD5A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6000"/>
        </a:blip>
        <a:stretch>
          <a:fillRect/>
        </a:stretch>
      </xdr:blipFill>
      <xdr:spPr>
        <a:xfrm>
          <a:off x="628366" y="76200"/>
          <a:ext cx="1060733" cy="10400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D1867-C5FC-BC4E-86E0-99942F9F473F}">
  <sheetPr>
    <tabColor rgb="FF0EAE0E"/>
  </sheetPr>
  <dimension ref="A1:J47"/>
  <sheetViews>
    <sheetView tabSelected="1" view="pageBreakPreview" zoomScale="63" zoomScaleNormal="81" zoomScaleSheetLayoutView="106" workbookViewId="0">
      <selection activeCell="A8" sqref="A8:J8"/>
    </sheetView>
  </sheetViews>
  <sheetFormatPr baseColWidth="10" defaultColWidth="6.33203125" defaultRowHeight="13"/>
  <cols>
    <col min="1" max="1" width="4.33203125" style="2" customWidth="1"/>
    <col min="2" max="2" width="13.6640625" style="2" customWidth="1"/>
    <col min="3" max="3" width="16.6640625" style="5" bestFit="1" customWidth="1"/>
    <col min="4" max="4" width="31.33203125" style="2" customWidth="1"/>
    <col min="5" max="5" width="18" style="2" customWidth="1"/>
    <col min="6" max="6" width="16.33203125" style="2" customWidth="1"/>
    <col min="7" max="7" width="11.6640625" style="2" customWidth="1"/>
    <col min="8" max="8" width="15.5" style="2" bestFit="1" customWidth="1"/>
    <col min="9" max="9" width="15.5" style="2" customWidth="1"/>
    <col min="10" max="10" width="3.83203125" style="2" bestFit="1" customWidth="1"/>
    <col min="11" max="16384" width="6.33203125" style="2"/>
  </cols>
  <sheetData>
    <row r="1" spans="1:10" ht="16">
      <c r="A1" s="1"/>
      <c r="B1" s="1"/>
      <c r="C1" s="1"/>
      <c r="D1" s="1"/>
      <c r="E1" s="1"/>
      <c r="F1" s="1"/>
      <c r="G1" s="40" t="s">
        <v>38</v>
      </c>
      <c r="H1" s="40"/>
      <c r="I1" s="40"/>
      <c r="J1" s="40"/>
    </row>
    <row r="2" spans="1:10" ht="16">
      <c r="A2" s="3"/>
      <c r="B2" s="1"/>
      <c r="C2" s="1"/>
      <c r="D2" s="1"/>
      <c r="E2" s="1"/>
      <c r="F2" s="1"/>
      <c r="G2" s="40" t="s">
        <v>5</v>
      </c>
      <c r="H2" s="40"/>
      <c r="I2" s="40"/>
      <c r="J2" s="40"/>
    </row>
    <row r="3" spans="1:10" ht="16">
      <c r="A3" s="40"/>
      <c r="B3" s="40"/>
      <c r="C3" s="40"/>
      <c r="D3" s="40"/>
      <c r="E3" s="40"/>
      <c r="F3" s="40"/>
      <c r="G3" s="40"/>
      <c r="H3" s="40"/>
      <c r="I3" s="40"/>
      <c r="J3" s="40"/>
    </row>
    <row r="4" spans="1:10" ht="16">
      <c r="A4" s="40" t="s">
        <v>6</v>
      </c>
      <c r="B4" s="40"/>
      <c r="C4" s="40"/>
      <c r="D4" s="40"/>
      <c r="E4" s="40"/>
      <c r="F4" s="40"/>
      <c r="G4" s="40"/>
      <c r="H4" s="40"/>
      <c r="I4" s="40"/>
      <c r="J4" s="40"/>
    </row>
    <row r="5" spans="1:10" ht="14" customHeight="1">
      <c r="A5" s="41" t="s">
        <v>14</v>
      </c>
      <c r="B5" s="41"/>
      <c r="C5" s="41"/>
      <c r="D5" s="41"/>
      <c r="E5" s="41"/>
      <c r="F5" s="41"/>
      <c r="G5" s="41"/>
      <c r="H5" s="41"/>
      <c r="I5" s="41"/>
      <c r="J5" s="41"/>
    </row>
    <row r="6" spans="1:10" ht="25">
      <c r="A6" s="42" t="s">
        <v>0</v>
      </c>
      <c r="B6" s="42"/>
      <c r="C6" s="42"/>
      <c r="D6" s="42"/>
      <c r="E6" s="42"/>
      <c r="F6" s="42"/>
      <c r="G6" s="42"/>
      <c r="H6" s="42"/>
      <c r="I6" s="42"/>
      <c r="J6" s="42"/>
    </row>
    <row r="7" spans="1:10" ht="28">
      <c r="A7" s="43" t="s">
        <v>4</v>
      </c>
      <c r="B7" s="43"/>
      <c r="C7" s="43"/>
      <c r="D7" s="43"/>
      <c r="E7" s="43"/>
      <c r="F7" s="43"/>
      <c r="G7" s="43"/>
      <c r="H7" s="43"/>
      <c r="I7" s="43"/>
      <c r="J7" s="43"/>
    </row>
    <row r="8" spans="1:10" ht="35" customHeight="1">
      <c r="A8" s="44" t="s">
        <v>37</v>
      </c>
      <c r="B8" s="44"/>
      <c r="C8" s="44"/>
      <c r="D8" s="44"/>
      <c r="E8" s="44"/>
      <c r="F8" s="44"/>
      <c r="G8" s="44"/>
      <c r="H8" s="44"/>
      <c r="I8" s="44"/>
      <c r="J8" s="44"/>
    </row>
    <row r="9" spans="1:10" ht="20">
      <c r="A9" s="45"/>
      <c r="B9" s="45"/>
      <c r="C9" s="45"/>
      <c r="D9" s="45"/>
      <c r="E9" s="45"/>
      <c r="F9" s="45"/>
      <c r="G9" s="45"/>
      <c r="H9" s="45"/>
      <c r="I9" s="45"/>
      <c r="J9" s="45"/>
    </row>
    <row r="10" spans="1:10" ht="20" customHeight="1">
      <c r="A10" s="45" t="s">
        <v>23</v>
      </c>
      <c r="B10" s="45"/>
      <c r="C10" s="45"/>
      <c r="D10" s="45"/>
      <c r="E10" s="45"/>
      <c r="F10" s="45"/>
      <c r="G10" s="45"/>
      <c r="H10" s="45"/>
      <c r="I10" s="45"/>
      <c r="J10" s="45"/>
    </row>
    <row r="11" spans="1:10" ht="1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</row>
    <row r="12" spans="1:10" s="5" customFormat="1" ht="30" customHeight="1">
      <c r="A12" s="4"/>
      <c r="B12" s="46" t="s">
        <v>13</v>
      </c>
      <c r="C12" s="47"/>
      <c r="D12" s="47"/>
      <c r="E12" s="47"/>
      <c r="F12" s="11" t="s">
        <v>2</v>
      </c>
      <c r="G12" s="11" t="s">
        <v>21</v>
      </c>
      <c r="H12" s="11" t="s">
        <v>3</v>
      </c>
      <c r="I12" s="11" t="s">
        <v>39</v>
      </c>
    </row>
    <row r="13" spans="1:10" ht="30" customHeight="1">
      <c r="B13" s="32" t="s">
        <v>46</v>
      </c>
      <c r="C13" s="33"/>
      <c r="D13" s="33"/>
      <c r="E13" s="33"/>
      <c r="F13" s="21"/>
      <c r="G13" s="10"/>
      <c r="H13" s="76" t="s">
        <v>42</v>
      </c>
      <c r="I13" s="77" t="s">
        <v>43</v>
      </c>
    </row>
    <row r="14" spans="1:10" ht="30" customHeight="1">
      <c r="B14" s="80" t="s">
        <v>20</v>
      </c>
      <c r="C14" s="81" t="str">
        <f>工作表1!A8</f>
        <v>MainT fujimak Ph ver 開発費(30日完了予定)</v>
      </c>
      <c r="D14" s="81"/>
      <c r="E14" s="82"/>
      <c r="F14" s="26">
        <f>工作表1!B8</f>
        <v>20000</v>
      </c>
      <c r="G14" s="27">
        <f>工作表1!C8</f>
        <v>1</v>
      </c>
      <c r="H14" s="60">
        <f>工作表1!D8</f>
        <v>20000</v>
      </c>
      <c r="I14" s="28">
        <f>工作表1!E8</f>
        <v>2556</v>
      </c>
    </row>
    <row r="15" spans="1:10" ht="13" customHeight="1">
      <c r="B15" s="73"/>
      <c r="C15" s="74"/>
      <c r="D15" s="74"/>
      <c r="E15" s="74"/>
      <c r="F15" s="74"/>
      <c r="G15" s="74"/>
      <c r="H15" s="74"/>
      <c r="I15" s="75"/>
    </row>
    <row r="16" spans="1:10" ht="30" customHeight="1">
      <c r="B16" s="32" t="s">
        <v>47</v>
      </c>
      <c r="C16" s="33"/>
      <c r="D16" s="33"/>
      <c r="E16" s="33"/>
      <c r="F16" s="26"/>
      <c r="G16" s="27"/>
      <c r="H16" s="60"/>
      <c r="I16" s="28"/>
    </row>
    <row r="17" spans="2:9" ht="30" customHeight="1">
      <c r="B17" s="80" t="s">
        <v>20</v>
      </c>
      <c r="C17" s="81" t="str">
        <f>工作表1!A11</f>
        <v>メンテナンス料(1店舗=1アカウント)</v>
      </c>
      <c r="D17" s="81"/>
      <c r="E17" s="82"/>
      <c r="F17" s="26">
        <f>工作表1!B11</f>
        <v>100</v>
      </c>
      <c r="G17" s="27">
        <f>工作表1!C11</f>
        <v>1</v>
      </c>
      <c r="H17" s="61">
        <f>工作表1!D11</f>
        <v>100</v>
      </c>
      <c r="I17" s="79">
        <f>工作表1!E11</f>
        <v>12.799999999999999</v>
      </c>
    </row>
    <row r="18" spans="2:9" ht="13" customHeight="1">
      <c r="B18" s="73"/>
      <c r="C18" s="74"/>
      <c r="D18" s="74"/>
      <c r="E18" s="74"/>
      <c r="F18" s="74"/>
      <c r="G18" s="74"/>
      <c r="H18" s="74"/>
      <c r="I18" s="75"/>
    </row>
    <row r="19" spans="2:9" ht="30" customHeight="1">
      <c r="B19" s="51" t="s">
        <v>32</v>
      </c>
      <c r="C19" s="52"/>
      <c r="D19" s="52"/>
      <c r="E19" s="52"/>
      <c r="F19" s="52"/>
      <c r="G19" s="52"/>
      <c r="H19" s="62">
        <f>SUM(H13:H14)</f>
        <v>20000</v>
      </c>
      <c r="I19" s="29">
        <f>SUM(I13:I14)</f>
        <v>2556</v>
      </c>
    </row>
    <row r="20" spans="2:9" ht="30" customHeight="1" thickBot="1">
      <c r="B20" s="36" t="s">
        <v>31</v>
      </c>
      <c r="C20" s="37"/>
      <c r="D20" s="37"/>
      <c r="E20" s="37"/>
      <c r="F20" s="37"/>
      <c r="G20" s="37"/>
      <c r="H20" s="63">
        <f>SUM(H17:H17)</f>
        <v>100</v>
      </c>
      <c r="I20" s="78">
        <f>SUM(I17:I17)</f>
        <v>12.799999999999999</v>
      </c>
    </row>
    <row r="21" spans="2:9" ht="16" customHeight="1">
      <c r="B21" s="6"/>
      <c r="C21" s="6"/>
      <c r="D21" s="6"/>
      <c r="E21" s="7"/>
      <c r="F21" s="7"/>
      <c r="G21" s="8"/>
      <c r="H21" s="9"/>
      <c r="I21" s="9"/>
    </row>
    <row r="22" spans="2:9" ht="30" customHeight="1">
      <c r="B22" s="71" t="s">
        <v>7</v>
      </c>
      <c r="C22" s="71"/>
      <c r="D22" s="71"/>
      <c r="E22" s="71"/>
      <c r="F22" s="71"/>
      <c r="G22" s="71"/>
      <c r="H22" s="71"/>
      <c r="I22" s="58"/>
    </row>
    <row r="23" spans="2:9" ht="30" customHeight="1">
      <c r="B23" s="53" t="s">
        <v>8</v>
      </c>
      <c r="C23" s="54"/>
      <c r="D23" s="54"/>
      <c r="E23" s="54"/>
      <c r="F23" s="54"/>
      <c r="G23" s="54"/>
      <c r="H23" s="54"/>
      <c r="I23" s="55"/>
    </row>
    <row r="24" spans="2:9" ht="20" customHeight="1">
      <c r="B24" s="56" t="s">
        <v>40</v>
      </c>
      <c r="C24" s="64"/>
      <c r="D24" s="64"/>
      <c r="E24" s="64"/>
      <c r="F24" s="64"/>
      <c r="G24" s="64"/>
      <c r="H24" s="64"/>
      <c r="I24" s="57"/>
    </row>
    <row r="25" spans="2:9" ht="30" customHeight="1">
      <c r="B25" s="38" t="s">
        <v>9</v>
      </c>
      <c r="C25" s="65"/>
      <c r="D25" s="65"/>
      <c r="E25" s="65"/>
      <c r="F25" s="65"/>
      <c r="G25" s="65"/>
      <c r="H25" s="65"/>
      <c r="I25" s="39"/>
    </row>
    <row r="26" spans="2:9" ht="20" customHeight="1">
      <c r="B26" s="34" t="s">
        <v>28</v>
      </c>
      <c r="C26" s="66"/>
      <c r="D26" s="66"/>
      <c r="E26" s="66"/>
      <c r="F26" s="66"/>
      <c r="G26" s="66"/>
      <c r="H26" s="66"/>
      <c r="I26" s="35"/>
    </row>
    <row r="27" spans="2:9" ht="20" customHeight="1">
      <c r="B27" s="34" t="s">
        <v>35</v>
      </c>
      <c r="C27" s="66"/>
      <c r="D27" s="66"/>
      <c r="E27" s="66"/>
      <c r="F27" s="66"/>
      <c r="G27" s="66"/>
      <c r="H27" s="66"/>
      <c r="I27" s="35"/>
    </row>
    <row r="28" spans="2:9" ht="32" customHeight="1">
      <c r="B28" s="38" t="s">
        <v>10</v>
      </c>
      <c r="C28" s="65"/>
      <c r="D28" s="65"/>
      <c r="E28" s="65"/>
      <c r="F28" s="65"/>
      <c r="G28" s="65"/>
      <c r="H28" s="65"/>
      <c r="I28" s="39"/>
    </row>
    <row r="29" spans="2:9" ht="20" customHeight="1">
      <c r="B29" s="34" t="s">
        <v>45</v>
      </c>
      <c r="C29" s="66"/>
      <c r="D29" s="66"/>
      <c r="E29" s="66"/>
      <c r="F29" s="66"/>
      <c r="G29" s="66"/>
      <c r="H29" s="66"/>
      <c r="I29" s="35"/>
    </row>
    <row r="30" spans="2:9" ht="20" customHeight="1">
      <c r="B30" s="34" t="s">
        <v>34</v>
      </c>
      <c r="C30" s="66"/>
      <c r="D30" s="66"/>
      <c r="E30" s="66"/>
      <c r="F30" s="66"/>
      <c r="G30" s="66"/>
      <c r="H30" s="66"/>
      <c r="I30" s="35"/>
    </row>
    <row r="31" spans="2:9" ht="16" customHeight="1">
      <c r="B31" s="30" t="s">
        <v>11</v>
      </c>
      <c r="C31" s="67"/>
      <c r="D31" s="67"/>
      <c r="E31" s="67"/>
      <c r="F31" s="67"/>
      <c r="G31" s="67"/>
      <c r="H31" s="67"/>
      <c r="I31" s="31"/>
    </row>
    <row r="32" spans="2:9" ht="20" customHeight="1">
      <c r="B32" s="34" t="s">
        <v>12</v>
      </c>
      <c r="C32" s="66"/>
      <c r="D32" s="66"/>
      <c r="E32" s="66"/>
      <c r="F32" s="66"/>
      <c r="G32" s="66"/>
      <c r="H32" s="66"/>
      <c r="I32" s="35"/>
    </row>
    <row r="33" spans="2:9" ht="20" customHeight="1">
      <c r="B33" s="69" t="s">
        <v>29</v>
      </c>
      <c r="C33" s="70"/>
      <c r="D33" s="70"/>
      <c r="E33" s="70"/>
      <c r="F33" s="70"/>
      <c r="G33" s="70"/>
      <c r="H33" s="70"/>
      <c r="I33" s="72"/>
    </row>
    <row r="34" spans="2:9" ht="60" customHeight="1">
      <c r="B34" s="34" t="s">
        <v>33</v>
      </c>
      <c r="C34" s="66"/>
      <c r="D34" s="66"/>
      <c r="E34" s="66"/>
      <c r="F34" s="66"/>
      <c r="G34" s="66"/>
      <c r="H34" s="66"/>
      <c r="I34" s="35"/>
    </row>
    <row r="35" spans="2:9" ht="53" customHeight="1">
      <c r="B35" s="34"/>
      <c r="C35" s="66"/>
      <c r="D35" s="66"/>
      <c r="E35" s="66"/>
      <c r="F35" s="66"/>
      <c r="G35" s="66"/>
      <c r="H35" s="66"/>
      <c r="I35" s="35"/>
    </row>
    <row r="36" spans="2:9" ht="16" customHeight="1">
      <c r="B36" s="69" t="s">
        <v>1</v>
      </c>
      <c r="C36" s="70"/>
      <c r="D36" s="70"/>
      <c r="E36" s="70"/>
      <c r="F36" s="70"/>
      <c r="G36" s="70"/>
      <c r="H36" s="70"/>
      <c r="I36" s="72"/>
    </row>
    <row r="37" spans="2:9" ht="16" customHeight="1">
      <c r="B37" s="34" t="s">
        <v>44</v>
      </c>
      <c r="C37" s="66"/>
      <c r="D37" s="66"/>
      <c r="E37" s="66"/>
      <c r="F37" s="66"/>
      <c r="G37" s="66"/>
      <c r="H37" s="66"/>
      <c r="I37" s="35"/>
    </row>
    <row r="38" spans="2:9" ht="50" customHeight="1">
      <c r="B38" s="34"/>
      <c r="C38" s="66"/>
      <c r="D38" s="66"/>
      <c r="E38" s="66"/>
      <c r="F38" s="66"/>
      <c r="G38" s="66"/>
      <c r="H38" s="66"/>
      <c r="I38" s="35"/>
    </row>
    <row r="39" spans="2:9" ht="54" customHeight="1">
      <c r="B39" s="34"/>
      <c r="C39" s="66"/>
      <c r="D39" s="66"/>
      <c r="E39" s="66"/>
      <c r="F39" s="66"/>
      <c r="G39" s="66"/>
      <c r="H39" s="66"/>
      <c r="I39" s="35"/>
    </row>
    <row r="40" spans="2:9" ht="24" customHeight="1">
      <c r="B40" s="12"/>
      <c r="C40" s="59"/>
      <c r="D40" s="59"/>
      <c r="E40" s="59"/>
      <c r="F40" s="68" t="s">
        <v>22</v>
      </c>
      <c r="G40" s="68"/>
      <c r="H40" s="68"/>
      <c r="I40" s="48"/>
    </row>
    <row r="41" spans="2:9" ht="54" customHeight="1">
      <c r="B41" s="12"/>
      <c r="C41" s="59"/>
      <c r="D41" s="59"/>
      <c r="E41" s="59"/>
      <c r="F41" s="49"/>
      <c r="G41" s="49"/>
      <c r="H41" s="49"/>
      <c r="I41" s="50"/>
    </row>
    <row r="42" spans="2:9" ht="24" customHeight="1">
      <c r="B42" s="13"/>
      <c r="C42" s="14"/>
      <c r="D42" s="14"/>
      <c r="E42" s="14"/>
      <c r="F42" s="49"/>
      <c r="G42" s="49"/>
      <c r="H42" s="49"/>
      <c r="I42" s="23"/>
    </row>
    <row r="44" spans="2:9" ht="30" customHeight="1">
      <c r="C44" s="2"/>
    </row>
    <row r="45" spans="2:9" ht="33" customHeight="1">
      <c r="C45" s="2"/>
    </row>
    <row r="46" spans="2:9" ht="33" customHeight="1">
      <c r="C46" s="2"/>
    </row>
    <row r="47" spans="2:9" ht="33" customHeight="1">
      <c r="C47" s="2"/>
    </row>
  </sheetData>
  <mergeCells count="37">
    <mergeCell ref="F41:I41"/>
    <mergeCell ref="B15:I15"/>
    <mergeCell ref="B18:I18"/>
    <mergeCell ref="A10:J11"/>
    <mergeCell ref="B33:I33"/>
    <mergeCell ref="B34:I35"/>
    <mergeCell ref="B36:I36"/>
    <mergeCell ref="B37:I39"/>
    <mergeCell ref="F40:I40"/>
    <mergeCell ref="B28:I28"/>
    <mergeCell ref="B29:I29"/>
    <mergeCell ref="B30:I30"/>
    <mergeCell ref="B31:I31"/>
    <mergeCell ref="B32:I32"/>
    <mergeCell ref="F42:H42"/>
    <mergeCell ref="B19:G19"/>
    <mergeCell ref="B22:H22"/>
    <mergeCell ref="B23:I23"/>
    <mergeCell ref="B24:I24"/>
    <mergeCell ref="G1:J1"/>
    <mergeCell ref="G2:J2"/>
    <mergeCell ref="A3:J3"/>
    <mergeCell ref="A4:J4"/>
    <mergeCell ref="A5:J5"/>
    <mergeCell ref="A6:J6"/>
    <mergeCell ref="A7:J7"/>
    <mergeCell ref="A8:J8"/>
    <mergeCell ref="A9:J9"/>
    <mergeCell ref="B12:E12"/>
    <mergeCell ref="B25:I25"/>
    <mergeCell ref="B26:I26"/>
    <mergeCell ref="B27:I27"/>
    <mergeCell ref="B13:E13"/>
    <mergeCell ref="C14:E14"/>
    <mergeCell ref="B16:E16"/>
    <mergeCell ref="C17:E17"/>
    <mergeCell ref="B20:G20"/>
  </mergeCells>
  <phoneticPr fontId="13" type="noConversion"/>
  <pageMargins left="0" right="0" top="0" bottom="0" header="0" footer="0"/>
  <pageSetup paperSize="9" scale="64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79704-51E7-1841-833F-02D325715D33}">
  <dimension ref="A1:E11"/>
  <sheetViews>
    <sheetView workbookViewId="0">
      <selection activeCell="E11" sqref="E11"/>
    </sheetView>
  </sheetViews>
  <sheetFormatPr baseColWidth="10" defaultRowHeight="18"/>
  <cols>
    <col min="1" max="1" width="50.6640625" style="15" customWidth="1"/>
    <col min="2" max="2" width="12.33203125" style="24" bestFit="1" customWidth="1"/>
    <col min="3" max="5" width="12" style="15" bestFit="1" customWidth="1"/>
    <col min="6" max="16384" width="10.83203125" style="15"/>
  </cols>
  <sheetData>
    <row r="1" spans="1:5">
      <c r="D1" s="16" t="s">
        <v>15</v>
      </c>
      <c r="E1" s="15">
        <v>0.1278</v>
      </c>
    </row>
    <row r="2" spans="1:5">
      <c r="D2" s="16"/>
    </row>
    <row r="3" spans="1:5">
      <c r="A3" s="17" t="s">
        <v>16</v>
      </c>
      <c r="B3" s="25" t="s">
        <v>17</v>
      </c>
      <c r="C3" s="17" t="s">
        <v>27</v>
      </c>
      <c r="D3" s="17" t="s">
        <v>18</v>
      </c>
      <c r="E3" s="17" t="s">
        <v>19</v>
      </c>
    </row>
    <row r="4" spans="1:5">
      <c r="A4" s="18" t="s">
        <v>25</v>
      </c>
      <c r="B4" s="22">
        <v>2800</v>
      </c>
      <c r="C4" s="22">
        <v>3</v>
      </c>
      <c r="D4" s="19">
        <f>B4*C4</f>
        <v>8400</v>
      </c>
      <c r="E4" s="20">
        <f>ROUNDUP(D4*$E$1,1)</f>
        <v>1073.5999999999999</v>
      </c>
    </row>
    <row r="5" spans="1:5">
      <c r="A5" s="18" t="s">
        <v>26</v>
      </c>
      <c r="B5" s="22">
        <v>6600</v>
      </c>
      <c r="C5" s="22">
        <v>1</v>
      </c>
      <c r="D5" s="19">
        <f>B5*C5</f>
        <v>6600</v>
      </c>
      <c r="E5" s="20">
        <f t="shared" ref="E5:E8" si="0">ROUNDUP(D5*$E$1,1)</f>
        <v>843.5</v>
      </c>
    </row>
    <row r="6" spans="1:5">
      <c r="A6" s="18" t="s">
        <v>24</v>
      </c>
      <c r="B6" s="22">
        <v>1000</v>
      </c>
      <c r="C6" s="22">
        <v>1</v>
      </c>
      <c r="D6" s="19">
        <f t="shared" ref="D6:D8" si="1">B6*C6</f>
        <v>1000</v>
      </c>
      <c r="E6" s="20">
        <f t="shared" si="0"/>
        <v>127.8</v>
      </c>
    </row>
    <row r="7" spans="1:5">
      <c r="A7" s="18"/>
      <c r="B7" s="22"/>
      <c r="C7" s="22"/>
      <c r="D7" s="19"/>
      <c r="E7" s="20"/>
    </row>
    <row r="8" spans="1:5">
      <c r="A8" s="18" t="s">
        <v>41</v>
      </c>
      <c r="B8" s="22">
        <v>20000</v>
      </c>
      <c r="C8" s="18">
        <v>1</v>
      </c>
      <c r="D8" s="20">
        <f t="shared" si="1"/>
        <v>20000</v>
      </c>
      <c r="E8" s="20">
        <f t="shared" si="0"/>
        <v>2556</v>
      </c>
    </row>
    <row r="9" spans="1:5">
      <c r="A9" s="18"/>
      <c r="B9" s="22"/>
      <c r="C9" s="18"/>
      <c r="D9" s="20"/>
      <c r="E9" s="20"/>
    </row>
    <row r="10" spans="1:5">
      <c r="A10" s="18" t="s">
        <v>30</v>
      </c>
      <c r="B10" s="22">
        <v>100</v>
      </c>
      <c r="C10" s="22">
        <v>1</v>
      </c>
      <c r="D10" s="19">
        <f>B10*C10</f>
        <v>100</v>
      </c>
      <c r="E10" s="20">
        <f>ROUNDUP(D10*$E$1,1)</f>
        <v>12.799999999999999</v>
      </c>
    </row>
    <row r="11" spans="1:5">
      <c r="A11" s="18" t="s">
        <v>36</v>
      </c>
      <c r="B11" s="22">
        <v>100</v>
      </c>
      <c r="C11" s="22">
        <v>1</v>
      </c>
      <c r="D11" s="19">
        <f>B11*C11</f>
        <v>100</v>
      </c>
      <c r="E11" s="20">
        <f>ROUNDUP(D11*$E$1,1)</f>
        <v>12.799999999999999</v>
      </c>
    </row>
  </sheetData>
  <phoneticPr fontId="1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報價單-JP (2)</vt:lpstr>
      <vt:lpstr>工作表1</vt:lpstr>
      <vt:lpstr>'報價單-JP (2)'!Print_Area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hiroki sakon</cp:lastModifiedBy>
  <cp:lastPrinted>2026-03-30T02:34:50Z</cp:lastPrinted>
  <dcterms:created xsi:type="dcterms:W3CDTF">2020-01-17T07:25:04Z</dcterms:created>
  <dcterms:modified xsi:type="dcterms:W3CDTF">2026-03-30T09:07:32Z</dcterms:modified>
  <cp:category/>
</cp:coreProperties>
</file>